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30c6ece8c41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44dc0713f1d4f85"/>
    <x:sheet xmlns:r="http://schemas.openxmlformats.org/officeDocument/2006/relationships" name="Monthly P&amp;L" sheetId="2" r:id="Rc3857d94da654098"/>
    <x:sheet xmlns:r="http://schemas.openxmlformats.org/officeDocument/2006/relationships" name="Revenue Schedule" sheetId="3" r:id="R0ae5d0b667554b62"/>
    <x:sheet xmlns:r="http://schemas.openxmlformats.org/officeDocument/2006/relationships" name="Bank Recon" sheetId="4" r:id="R7df56aac2f8045cd"/>
    <x:sheet xmlns:r="http://schemas.openxmlformats.org/officeDocument/2006/relationships" name="AR Aging" sheetId="5" r:id="R937034df636948db"/>
    <x:sheet xmlns:r="http://schemas.openxmlformats.org/officeDocument/2006/relationships" name="Journal Entries" sheetId="6" r:id="Ref4e0f86b82440fd"/>
    <x:sheet xmlns:r="http://schemas.openxmlformats.org/officeDocument/2006/relationships" name="Policy Thresholds" sheetId="7" r:id="R46cf75bda7844c20"/>
    <x:sheet xmlns:r="http://schemas.openxmlformats.org/officeDocument/2006/relationships" name="ISA Assertion Matrix" sheetId="8" r:id="Re2fa466a6df9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5f13f364ed443d" /><Relationship Type="http://schemas.openxmlformats.org/officeDocument/2006/relationships/theme" Target="/xl/theme/theme1.xml" Id="R93518eba110c400f" /><Relationship Type="http://schemas.openxmlformats.org/officeDocument/2006/relationships/sharedStrings" Target="/xl/sharedStrings.xml" Id="Rdeab179dc19c487f" /><Relationship Type="http://schemas.openxmlformats.org/officeDocument/2006/relationships/worksheet" Target="/xl/worksheets/sheet1.xml" Id="Rb44dc0713f1d4f85" /><Relationship Type="http://schemas.openxmlformats.org/officeDocument/2006/relationships/worksheet" Target="/xl/worksheets/sheet2.xml" Id="Rc3857d94da654098" /><Relationship Type="http://schemas.openxmlformats.org/officeDocument/2006/relationships/worksheet" Target="/xl/worksheets/sheet3.xml" Id="R0ae5d0b667554b62" /><Relationship Type="http://schemas.openxmlformats.org/officeDocument/2006/relationships/worksheet" Target="/xl/worksheets/sheet4.xml" Id="R7df56aac2f8045cd" /><Relationship Type="http://schemas.openxmlformats.org/officeDocument/2006/relationships/worksheet" Target="/xl/worksheets/sheet5.xml" Id="R937034df636948db" /><Relationship Type="http://schemas.openxmlformats.org/officeDocument/2006/relationships/worksheet" Target="/xl/worksheets/sheet6.xml" Id="Ref4e0f86b82440fd" /><Relationship Type="http://schemas.openxmlformats.org/officeDocument/2006/relationships/worksheet" Target="/xl/worksheets/sheet7.xml" Id="R46cf75bda7844c20" /><Relationship Type="http://schemas.openxmlformats.org/officeDocument/2006/relationships/worksheet" Target="/xl/worksheets/sheet8.xml" Id="Re2fa466a6df949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4" max="4" width="22" hidden="0" customWidth="1"/>
    <x:col min="5" max="5" width="42" hidden="0" customWidth="1"/>
  </x:cols>
  <x:sheetData>
    <x:row r="1">
      <x:c r="A1" s="4" t="str">
        <x:v>Q2 2026 Financial Reporting Pack</x:v>
      </x:c>
      <x:c r="B1" s="4" t="str"/>
      <x:c r="C1" s="4" t="str"/>
      <x:c r="D1" s="4" t="str"/>
      <x:c r="E1" s="4" t="str"/>
      <x:c r="F1" s="4" t="str"/>
    </x:row>
    <x:row r="2">
      <x:c r="A2" s="4" t="str">
        <x:v>PT Arunika Cloud Commerce</x:v>
      </x:c>
      <x:c r="B2" s="4" t="str"/>
      <x:c r="C2" s="4" t="str"/>
      <x:c r="D2" s="4" t="str"/>
      <x:c r="E2" s="4" t="str"/>
      <x:c r="F2" s="4" t="str"/>
    </x:row>
    <x:row r="4">
      <x:c r="A4" s="8" t="str">
        <x:v>Case ID</x:v>
      </x:c>
      <x:c r="B4" s="8" t="str">
        <x:v>LINOW-ISA500-Q2REV-2026-ACC</x:v>
      </x:c>
      <x:c r="C4" s="8" t="str"/>
      <x:c r="D4" s="8" t="str">
        <x:v>Audit Area</x:v>
      </x:c>
      <x:c r="E4" s="8" t="str">
        <x:v>Revenue recognition and cash receipts</x:v>
      </x:c>
      <x:c r="F4" s="8" t="str"/>
    </x:row>
    <x:row r="5">
      <x:c r="A5" s="8" t="str">
        <x:v>Period</x:v>
      </x:c>
      <x:c r="B5" s="8" t="str">
        <x:v>2026-04-01 to 2026-06-30</x:v>
      </x:c>
      <x:c r="C5" s="8" t="str"/>
      <x:c r="D5" s="8" t="str">
        <x:v>Prepared by</x:v>
      </x:c>
      <x:c r="E5" s="8" t="str">
        <x:v>Finance Controller</x:v>
      </x:c>
      <x:c r="F5" s="8" t="str"/>
    </x:row>
    <x:row r="6">
      <x:c r="A6" s="8" t="str">
        <x:v>Currency</x:v>
      </x:c>
      <x:c r="B6" s="8" t="str">
        <x:v>IDR</x:v>
      </x:c>
      <x:c r="C6" s="8" t="str"/>
      <x:c r="D6" s="8" t="str">
        <x:v>Purpose</x:v>
      </x:c>
      <x:c r="E6" s="8" t="str">
        <x:v>ISA 500 evidence readiness demo pack</x:v>
      </x:c>
      <x:c r="F6" s="8" t="str"/>
    </x:row>
    <x:row r="7">
      <x:c r="A7" s="8" t="str">
        <x:v>Materiality demo threshold</x:v>
      </x:c>
      <x:c r="B7" s="8" t="n">
        <x:v>50000000</x:v>
      </x:c>
      <x:c r="C7" s="8" t="str"/>
      <x:c r="D7" s="8" t="str">
        <x:v>Approval threshold</x:v>
      </x:c>
      <x:c r="E7" s="8" t="str">
        <x:v>Contracts &gt; IDR 750,000,000 require Board Commercial Committee approval</x:v>
      </x:c>
      <x:c r="F7" s="8" t="str"/>
    </x:row>
    <x:row r="8">
      <x:c r="A8" s="8" t="str">
        <x:v>Intentional gap 1</x:v>
      </x:c>
      <x:c r="B8" s="8" t="str">
        <x:v>Commercial Committee minutes for Orion contract are not in initial evidence</x:v>
      </x:c>
      <x:c r="C8" s="8" t="str"/>
      <x:c r="D8" s="8" t="str">
        <x:v>Intentional gap 2</x:v>
      </x:c>
      <x:c r="E8" s="8" t="str">
        <x:v>Manual JE approval for JRN-2026-06-117 is missing in initial evidence</x:v>
      </x:c>
      <x:c r="F8" s="8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8" hidden="0" customWidth="1"/>
  </x:cols>
  <x:sheetData>
    <x:row r="1">
      <x:c r="A1" s="18" t="str">
        <x:v>Line item</x:v>
      </x:c>
      <x:c r="B1" s="18" t="str">
        <x:v>Apr-2026</x:v>
      </x:c>
      <x:c r="C1" s="18" t="str">
        <x:v>May-2026</x:v>
      </x:c>
      <x:c r="D1" s="18" t="str">
        <x:v>Jun-2026</x:v>
      </x:c>
      <x:c r="E1" s="18" t="str">
        <x:v>Q2 Total</x:v>
      </x:c>
      <x:c r="F1" s="18" t="str">
        <x:v>Audit note</x:v>
      </x:c>
    </x:row>
    <x:row r="2">
      <x:c r="A2" s="8" t="str">
        <x:v>SaaS subscription revenue</x:v>
      </x:c>
      <x:c r="B2" s="19" t="n">
        <x:v>132000000</x:v>
      </x:c>
      <x:c r="C2" s="19" t="n">
        <x:v>151750000</x:v>
      </x:c>
      <x:c r="D2" s="19" t="n">
        <x:v>145000000</x:v>
      </x:c>
      <x:c r="E2" s="19" t="n">
        <x:f>SUM(B2:D2)</x:f>
        <x:v>428750000</x:v>
      </x:c>
      <x:c r="F2" s="8" t="str">
        <x:v>Recurring monthly revenue</x:v>
      </x:c>
    </x:row>
    <x:row r="3">
      <x:c r="A3" s="8" t="str">
        <x:v>Implementation revenue</x:v>
      </x:c>
      <x:c r="B3" s="19" t="n">
        <x:v>204000000</x:v>
      </x:c>
      <x:c r="C3" s="19" t="n">
        <x:v>220000000</x:v>
      </x:c>
      <x:c r="D3" s="19" t="n">
        <x:v>246000000</x:v>
      </x:c>
      <x:c r="E3" s="19" t="n">
        <x:f>SUM(B3:D3)</x:f>
        <x:v>670000000</x:v>
      </x:c>
      <x:c r="F3" s="8" t="str">
        <x:v>Milestone-based recognition</x:v>
      </x:c>
    </x:row>
    <x:row r="4">
      <x:c r="A4" s="8" t="str">
        <x:v>Total revenue</x:v>
      </x:c>
      <x:c r="B4" s="19" t="n">
        <x:f>B2+B3</x:f>
        <x:v>336000000</x:v>
      </x:c>
      <x:c r="C4" s="19" t="n">
        <x:f>C2+C3</x:f>
        <x:v>371750000</x:v>
      </x:c>
      <x:c r="D4" s="19" t="n">
        <x:f>D2+D3</x:f>
        <x:v>391000000</x:v>
      </x:c>
      <x:c r="E4" s="19" t="n">
        <x:f>SUM(B4:D4)</x:f>
        <x:v>1098750000</x:v>
      </x:c>
      <x:c r="F4" s="8" t="str">
        <x:v>Agent should tie to revenue schedule</x:v>
      </x:c>
    </x:row>
    <x:row r="5">
      <x:c r="A5" s="8" t="str">
        <x:v>Cost of service</x:v>
      </x:c>
      <x:c r="B5" s="19" t="n">
        <x:v>96200000</x:v>
      </x:c>
      <x:c r="C5" s="19" t="n">
        <x:v>104800000</x:v>
      </x:c>
      <x:c r="D5" s="19" t="n">
        <x:v>117500000</x:v>
      </x:c>
      <x:c r="E5" s="19" t="n">
        <x:f>SUM(B5:D5)</x:f>
        <x:v>318500000</x:v>
      </x:c>
      <x:c r="F5" s="8" t="str">
        <x:v>Gross margin check only</x:v>
      </x:c>
    </x:row>
    <x:row r="6">
      <x:c r="A6" s="8" t="str">
        <x:v>Gross profit</x:v>
      </x:c>
      <x:c r="B6" s="19" t="n">
        <x:f>B4-B5</x:f>
        <x:v>239800000</x:v>
      </x:c>
      <x:c r="C6" s="19" t="n">
        <x:f>C4-C5</x:f>
        <x:v>266950000</x:v>
      </x:c>
      <x:c r="D6" s="19" t="n">
        <x:f>D4-D5</x:f>
        <x:v>273500000</x:v>
      </x:c>
      <x:c r="E6" s="19" t="n">
        <x:f>SUM(B6:D6)</x:f>
        <x:v>780250000</x:v>
      </x:c>
      <x:c r="F6" s="8" t="str"/>
    </x:row>
    <x:row r="7">
      <x:c r="A7" s="8" t="str">
        <x:v>Sales and marketing</x:v>
      </x:c>
      <x:c r="B7" s="19" t="n">
        <x:v>41500000</x:v>
      </x:c>
      <x:c r="C7" s="19" t="n">
        <x:v>44200000</x:v>
      </x:c>
      <x:c r="D7" s="19" t="n">
        <x:v>51300000</x:v>
      </x:c>
      <x:c r="E7" s="19" t="n">
        <x:f>SUM(B7:D7)</x:f>
        <x:v>137000000</x:v>
      </x:c>
      <x:c r="F7" s="8" t="str"/>
    </x:row>
    <x:row r="8">
      <x:c r="A8" s="8" t="str">
        <x:v>G&amp;A</x:v>
      </x:c>
      <x:c r="B8" s="19" t="n">
        <x:v>76100000</x:v>
      </x:c>
      <x:c r="C8" s="19" t="n">
        <x:v>73900000</x:v>
      </x:c>
      <x:c r="D8" s="19" t="n">
        <x:v>81400000</x:v>
      </x:c>
      <x:c r="E8" s="19" t="n">
        <x:f>SUM(B8:D8)</x:f>
        <x:v>231400000</x:v>
      </x:c>
      <x:c r="F8" s="8" t="str"/>
    </x:row>
    <x:row r="9">
      <x:c r="A9" s="8" t="str">
        <x:v>Operating profit</x:v>
      </x:c>
      <x:c r="B9" s="19" t="n">
        <x:f>B6-B7-B8+B10</x:f>
        <x:v>122200000</x:v>
      </x:c>
      <x:c r="C9" s="19" t="n">
        <x:f>C6-C7-C8+C10</x:f>
        <x:v>148850000</x:v>
      </x:c>
      <x:c r="D9" s="19" t="n">
        <x:f>D6-D7-D8+D10</x:f>
        <x:v>212800000</x:v>
      </x:c>
      <x:c r="E9" s="19" t="n">
        <x:f>SUM(B9:D9)</x:f>
        <x:v>483850000</x:v>
      </x:c>
      <x:c r="F9" s="8" t="str"/>
    </x:row>
    <x:row r="10">
      <x:c r="A10" s="8" t="str">
        <x:v>Manual revenue adjustment</x:v>
      </x:c>
      <x:c r="B10" s="19" t="n">
        <x:v>0</x:v>
      </x:c>
      <x:c r="C10" s="19" t="n">
        <x:v>0</x:v>
      </x:c>
      <x:c r="D10" s="19" t="n">
        <x:v>72000000</x:v>
      </x:c>
      <x:c r="E10" s="19" t="n">
        <x:f>SUM(B10:D10)</x:f>
        <x:v>72000000</x:v>
      </x:c>
      <x:c r="F10" s="8" t="str">
        <x:v>Requires approval per policy</x:v>
      </x:c>
    </x:row>
    <x:row r="11">
      <x:c r="A11" s="8"/>
      <x:c r="B11" s="19"/>
      <x:c r="C11" s="19"/>
      <x:c r="D11" s="19"/>
      <x:c r="E11" s="19" t="n">
        <x:f>SUM(B11:D11)</x:f>
        <x:v>0</x:v>
      </x:c>
      <x:c r="F11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30" hidden="0" customWidth="1"/>
    <x:col min="10" max="10" width="18" hidden="0" customWidth="1"/>
  </x:cols>
  <x:sheetData>
    <x:row r="1">
      <x:c r="A1" s="18" t="str">
        <x:v>Invoice ID</x:v>
      </x:c>
      <x:c r="B1" s="18" t="str">
        <x:v>Date</x:v>
      </x:c>
      <x:c r="C1" s="18" t="str">
        <x:v>Customer</x:v>
      </x:c>
      <x:c r="D1" s="18" t="str">
        <x:v>Product/Service</x:v>
      </x:c>
      <x:c r="E1" s="18" t="str">
        <x:v>Contract Ref</x:v>
      </x:c>
      <x:c r="F1" s="18" t="str">
        <x:v>Amount IDR</x:v>
      </x:c>
      <x:c r="G1" s="18" t="str">
        <x:v>Revenue Month</x:v>
      </x:c>
      <x:c r="H1" s="18" t="str">
        <x:v>Recognition basis</x:v>
      </x:c>
      <x:c r="I1" s="18" t="str">
        <x:v>Support document</x:v>
      </x:c>
      <x:c r="J1" s="18" t="str">
        <x:v>Risk flag</x:v>
      </x:c>
    </x:row>
    <x:row r="2">
      <x:c r="A2" s="8" t="str">
        <x:v>INV-2026-0411</x:v>
      </x:c>
      <x:c r="B2" s="8" t="str">
        <x:v>2026-04-30</x:v>
      </x:c>
      <x:c r="C2" s="8" t="str">
        <x:v>PT Orion Mart Tbk</x:v>
      </x:c>
      <x:c r="D2" s="8" t="str">
        <x:v>Implementation milestone 1</x:v>
      </x:c>
      <x:c r="E2" s="8" t="str">
        <x:v>Contract C-ORION-2026-019</x:v>
      </x:c>
      <x:c r="F2" s="19" t="n">
        <x:v>171000000</x:v>
      </x:c>
      <x:c r="G2" s="8" t="str">
        <x:v>Apr-2026</x:v>
      </x:c>
      <x:c r="H2" s="8" t="str">
        <x:v>Invoice + contract + acceptance/usage evidence</x:v>
      </x:c>
      <x:c r="I2" s="8" t="str">
        <x:v>Contract, invoice, service log, bank receipt</x:v>
      </x:c>
      <x:c r="J2" s="8" t="str">
        <x:v>Medium</x:v>
      </x:c>
    </x:row>
    <x:row r="3">
      <x:c r="A3" s="8" t="str">
        <x:v>INV-2026-0426</x:v>
      </x:c>
      <x:c r="B3" s="8" t="str">
        <x:v>2026-04-28</x:v>
      </x:c>
      <x:c r="C3" s="8" t="str">
        <x:v>PT Bali Fresh Market</x:v>
      </x:c>
      <x:c r="D3" s="8" t="str">
        <x:v>April SaaS subscription</x:v>
      </x:c>
      <x:c r="E3" s="8" t="str">
        <x:v>Contract C-BALI-2026-008</x:v>
      </x:c>
      <x:c r="F3" s="19" t="n">
        <x:v>20000000</x:v>
      </x:c>
      <x:c r="G3" s="8" t="str">
        <x:v>Apr-2026</x:v>
      </x:c>
      <x:c r="H3" s="8" t="str">
        <x:v>Invoice + contract + acceptance/usage evidence</x:v>
      </x:c>
      <x:c r="I3" s="8" t="str">
        <x:v>Contract, invoice, service log, bank receipt</x:v>
      </x:c>
      <x:c r="J3" s="8" t="str">
        <x:v>Low</x:v>
      </x:c>
    </x:row>
    <x:row r="4">
      <x:c r="A4" s="8" t="str">
        <x:v>INV-2026-0434</x:v>
      </x:c>
      <x:c r="B4" s="8" t="str">
        <x:v>2026-04-29</x:v>
      </x:c>
      <x:c r="C4" s="8" t="str">
        <x:v>PT Sentra Farma Nusantara</x:v>
      </x:c>
      <x:c r="D4" s="8" t="str">
        <x:v>April SaaS subscription</x:v>
      </x:c>
      <x:c r="E4" s="8" t="str">
        <x:v>Contract C-SENTRA-2026-006</x:v>
      </x:c>
      <x:c r="F4" s="19" t="n">
        <x:v>15000000</x:v>
      </x:c>
      <x:c r="G4" s="8" t="str">
        <x:v>Apr-2026</x:v>
      </x:c>
      <x:c r="H4" s="8" t="str">
        <x:v>Invoice + contract + acceptance/usage evidence</x:v>
      </x:c>
      <x:c r="I4" s="8" t="str">
        <x:v>Contract, invoice, service log, bank receipt</x:v>
      </x:c>
      <x:c r="J4" s="8" t="str">
        <x:v>Low</x:v>
      </x:c>
    </x:row>
    <x:row r="5">
      <x:c r="A5" s="8" t="str">
        <x:v>INV-2026-0517</x:v>
      </x:c>
      <x:c r="B5" s="8" t="str">
        <x:v>2026-05-31</x:v>
      </x:c>
      <x:c r="C5" s="8" t="str">
        <x:v>PT Orion Mart Tbk</x:v>
      </x:c>
      <x:c r="D5" s="8" t="str">
        <x:v>May SaaS subscription</x:v>
      </x:c>
      <x:c r="E5" s="8" t="str">
        <x:v>Contract C-ORION-2026-019</x:v>
      </x:c>
      <x:c r="F5" s="19" t="n">
        <x:v>42750000</x:v>
      </x:c>
      <x:c r="G5" s="8" t="str">
        <x:v>May-2026</x:v>
      </x:c>
      <x:c r="H5" s="8" t="str">
        <x:v>Invoice + contract + acceptance/usage evidence</x:v>
      </x:c>
      <x:c r="I5" s="8" t="str">
        <x:v>Contract, invoice, service log, bank receipt</x:v>
      </x:c>
      <x:c r="J5" s="8" t="str">
        <x:v>Low</x:v>
      </x:c>
    </x:row>
    <x:row r="6">
      <x:c r="A6" s="8" t="str">
        <x:v>INV-2026-0528</x:v>
      </x:c>
      <x:c r="B6" s="8" t="str">
        <x:v>2026-05-30</x:v>
      </x:c>
      <x:c r="C6" s="8" t="str">
        <x:v>PT MegaLogis Indonesia</x:v>
      </x:c>
      <x:c r="D6" s="8" t="str">
        <x:v>Implementation milestone</x:v>
      </x:c>
      <x:c r="E6" s="8" t="str">
        <x:v>Contract C-MEGA-2026-012</x:v>
      </x:c>
      <x:c r="F6" s="19" t="n">
        <x:v>60000000</x:v>
      </x:c>
      <x:c r="G6" s="8" t="str">
        <x:v>May-2026</x:v>
      </x:c>
      <x:c r="H6" s="8" t="str">
        <x:v>Invoice + contract + acceptance/usage evidence</x:v>
      </x:c>
      <x:c r="I6" s="8" t="str">
        <x:v>Contract, invoice, service log, bank receipt</x:v>
      </x:c>
      <x:c r="J6" s="8" t="str">
        <x:v>Medium</x:v>
      </x:c>
    </x:row>
    <x:row r="7">
      <x:c r="A7" s="8" t="str">
        <x:v>INV-2026-0539</x:v>
      </x:c>
      <x:c r="B7" s="8" t="str">
        <x:v>2026-05-31</x:v>
      </x:c>
      <x:c r="C7" s="8" t="str">
        <x:v>PT Karya Moda Retail</x:v>
      </x:c>
      <x:c r="D7" s="8" t="str">
        <x:v>May SaaS subscription</x:v>
      </x:c>
      <x:c r="E7" s="8" t="str">
        <x:v>Contract C-KARYA-2026-010</x:v>
      </x:c>
      <x:c r="F7" s="19" t="n">
        <x:v>8000000</x:v>
      </x:c>
      <x:c r="G7" s="8" t="str">
        <x:v>May-2026</x:v>
      </x:c>
      <x:c r="H7" s="8" t="str">
        <x:v>Invoice + contract + acceptance/usage evidence</x:v>
      </x:c>
      <x:c r="I7" s="8" t="str">
        <x:v>Contract, invoice, service log, bank receipt</x:v>
      </x:c>
      <x:c r="J7" s="8" t="str">
        <x:v>Low</x:v>
      </x:c>
    </x:row>
    <x:row r="8">
      <x:c r="A8" s="8" t="str">
        <x:v>INV-2026-0620</x:v>
      </x:c>
      <x:c r="B8" s="8" t="str">
        <x:v>2026-06-28</x:v>
      </x:c>
      <x:c r="C8" s="8" t="str">
        <x:v>PT Bali Fresh Market</x:v>
      </x:c>
      <x:c r="D8" s="8" t="str">
        <x:v>June SaaS subscription</x:v>
      </x:c>
      <x:c r="E8" s="8" t="str">
        <x:v>Contract C-BALI-2026-008</x:v>
      </x:c>
      <x:c r="F8" s="19" t="n">
        <x:v>20000000</x:v>
      </x:c>
      <x:c r="G8" s="8" t="str">
        <x:v>Jun-2026</x:v>
      </x:c>
      <x:c r="H8" s="8" t="str">
        <x:v>Invoice + contract + acceptance/usage evidence</x:v>
      </x:c>
      <x:c r="I8" s="8" t="str">
        <x:v>Contract, invoice, service log, bank receipt</x:v>
      </x:c>
      <x:c r="J8" s="8" t="str">
        <x:v>Low</x:v>
      </x:c>
    </x:row>
    <x:row r="9">
      <x:c r="A9" s="8" t="str">
        <x:v>INV-2026-0624</x:v>
      </x:c>
      <x:c r="B9" s="8" t="str">
        <x:v>2026-06-29</x:v>
      </x:c>
      <x:c r="C9" s="8" t="str">
        <x:v>PT Sentra Farma Nusantara</x:v>
      </x:c>
      <x:c r="D9" s="8" t="str">
        <x:v>June SaaS subscription</x:v>
      </x:c>
      <x:c r="E9" s="8" t="str">
        <x:v>Contract C-SENTRA-2026-006</x:v>
      </x:c>
      <x:c r="F9" s="19" t="n">
        <x:v>15000000</x:v>
      </x:c>
      <x:c r="G9" s="8" t="str">
        <x:v>Jun-2026</x:v>
      </x:c>
      <x:c r="H9" s="8" t="str">
        <x:v>Invoice + contract + acceptance/usage evidence</x:v>
      </x:c>
      <x:c r="I9" s="8" t="str">
        <x:v>Contract, invoice, service log, bank receipt</x:v>
      </x:c>
      <x:c r="J9" s="8" t="str">
        <x:v>Low</x:v>
      </x:c>
    </x:row>
    <x:row r="10">
      <x:c r="A10" s="8" t="str">
        <x:v>INV-2026-0630</x:v>
      </x:c>
      <x:c r="B10" s="8" t="str">
        <x:v>2026-06-30</x:v>
      </x:c>
      <x:c r="C10" s="8" t="str">
        <x:v>PT Orion Mart Tbk</x:v>
      </x:c>
      <x:c r="D10" s="8" t="str">
        <x:v>Implementation milestone 2</x:v>
      </x:c>
      <x:c r="E10" s="8" t="str">
        <x:v>Contract C-ORION-2026-019</x:v>
      </x:c>
      <x:c r="F10" s="19" t="n">
        <x:v>171000000</x:v>
      </x:c>
      <x:c r="G10" s="8" t="str">
        <x:v>Jun-2026</x:v>
      </x:c>
      <x:c r="H10" s="8" t="str">
        <x:v>Invoice + contract + acceptance/usage evidence</x:v>
      </x:c>
      <x:c r="I10" s="8" t="str">
        <x:v>Contract, invoice, service log, bank receipt</x:v>
      </x:c>
      <x:c r="J10" s="8" t="str">
        <x:v>High</x:v>
      </x:c>
    </x:row>
    <x:row r="11">
      <x:c r="A11" s="8" t="str">
        <x:v>CRN-2026-0702</x:v>
      </x:c>
      <x:c r="B11" s="8" t="str">
        <x:v>2026-07-02</x:v>
      </x:c>
      <x:c r="C11" s="8" t="str">
        <x:v>PT Orion Mart Tbk</x:v>
      </x:c>
      <x:c r="D11" s="8" t="str">
        <x:v>Post-period credit note for service delay</x:v>
      </x:c>
      <x:c r="E11" s="8" t="str">
        <x:v>Contract C-ORION-2026-019</x:v>
      </x:c>
      <x:c r="F11" s="19" t="n">
        <x:v>-28500000</x:v>
      </x:c>
      <x:c r="G11" s="8" t="str">
        <x:v>Jul-2026</x:v>
      </x:c>
      <x:c r="H11" s="8" t="str">
        <x:v>Credit note after quarter end</x:v>
      </x:c>
      <x:c r="I11" s="8" t="str">
        <x:v>credit_note_CRN-2026-0702.txt</x:v>
      </x:c>
      <x:c r="J11" s="8" t="str">
        <x:v>Subsequent event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>
      <x:c r="A1" s="12" t="str">
        <x:v>Month</x:v>
      </x:c>
      <x:c r="B1" s="12" t="str">
        <x:v>Opening bank</x:v>
      </x:c>
      <x:c r="C1" s="12" t="str">
        <x:v>Receipts</x:v>
      </x:c>
      <x:c r="D1" s="12" t="str">
        <x:v>Disbursements</x:v>
      </x:c>
      <x:c r="E1" s="12" t="str">
        <x:v>Ending bank per statement</x:v>
      </x:c>
      <x:c r="F1" s="12" t="str">
        <x:v>Ending bank per GL</x:v>
      </x:c>
      <x:c r="G1" s="12" t="str">
        <x:v>Unreconciled diff</x:v>
      </x:c>
      <x:c r="H1" s="12" t="str">
        <x:v>Note</x:v>
      </x:c>
    </x:row>
    <x:row r="2">
      <x:c r="A2" t="str">
        <x:v>Apr-2026</x:v>
      </x:c>
      <x:c r="B2" s="16" t="n">
        <x:v>1920000000</x:v>
      </x:c>
      <x:c r="C2" s="16" t="n">
        <x:v>285000000</x:v>
      </x:c>
      <x:c r="D2" s="16" t="n">
        <x:v>194500000</x:v>
      </x:c>
      <x:c r="E2" s="16" t="n">
        <x:v>2010500000</x:v>
      </x:c>
      <x:c r="F2" s="16" t="n">
        <x:v>2010500000</x:v>
      </x:c>
      <x:c r="G2" s="16" t="n">
        <x:f>E2-F2</x:f>
        <x:v>0</x:v>
      </x:c>
      <x:c r="H2" t="str">
        <x:v>Agrees to bank statement</x:v>
      </x:c>
    </x:row>
    <x:row r="3">
      <x:c r="A3" t="str">
        <x:v>May-2026</x:v>
      </x:c>
      <x:c r="B3" s="16" t="n">
        <x:v>2010500000</x:v>
      </x:c>
      <x:c r="C3" s="16" t="n">
        <x:v>421000000</x:v>
      </x:c>
      <x:c r="D3" s="16" t="n">
        <x:v>288750000</x:v>
      </x:c>
      <x:c r="E3" s="16" t="n">
        <x:v>2142750000</x:v>
      </x:c>
      <x:c r="F3" s="16" t="n">
        <x:v>2142750000</x:v>
      </x:c>
      <x:c r="G3" s="16" t="n">
        <x:f>E3-F3</x:f>
        <x:v>0</x:v>
      </x:c>
      <x:c r="H3" t="str">
        <x:v>Agrees to bank statement</x:v>
      </x:c>
    </x:row>
    <x:row r="4">
      <x:c r="A4" t="str">
        <x:v>Jun-2026</x:v>
      </x:c>
      <x:c r="B4" s="16" t="n">
        <x:v>2142750000</x:v>
      </x:c>
      <x:c r="C4" s="16" t="n">
        <x:v>342750000</x:v>
      </x:c>
      <x:c r="D4" s="16" t="n">
        <x:v>390000000</x:v>
      </x:c>
      <x:c r="E4" s="16" t="n">
        <x:v>2095500000</x:v>
      </x:c>
      <x:c r="F4" s="16" t="n">
        <x:v>2095500000</x:v>
      </x:c>
      <x:c r="G4" s="16" t="n">
        <x:f>E4-F4</x:f>
        <x:v>0</x:v>
      </x:c>
      <x:c r="H4" t="str">
        <x:v>Agrees to bank statement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2" hidden="0" customWidth="1"/>
  </x:cols>
  <x:sheetData>
    <x:row r="1">
      <x:c r="A1" s="12" t="str">
        <x:v>Customer</x:v>
      </x:c>
      <x:c r="B1" s="12" t="str">
        <x:v>Invoice</x:v>
      </x:c>
      <x:c r="C1" s="12" t="str">
        <x:v>Invoice date</x:v>
      </x:c>
      <x:c r="D1" s="12" t="str">
        <x:v>Amount</x:v>
      </x:c>
      <x:c r="E1" s="12" t="str">
        <x:v>Current</x:v>
      </x:c>
      <x:c r="F1" s="12" t="str">
        <x:v>1-30 days</x:v>
      </x:c>
      <x:c r="G1" s="12" t="str">
        <x:v>31-60 days</x:v>
      </x:c>
      <x:c r="H1" s="12" t="str">
        <x:v>61-90 days</x:v>
      </x:c>
      <x:c r="I1" s="12" t="str">
        <x:v>&gt;90 days</x:v>
      </x:c>
      <x:c r="J1" s="12" t="str">
        <x:v>Status</x:v>
      </x:c>
      <x:c r="K1" s="12" t="str">
        <x:v>Note</x:v>
      </x:c>
    </x:row>
    <x:row r="2">
      <x:c r="A2" t="str">
        <x:v>PT Orion Mart Tbk</x:v>
      </x:c>
      <x:c r="B2" t="str">
        <x:v>INV-2026-0630</x:v>
      </x:c>
      <x:c r="C2" t="str">
        <x:v>2026-06-30</x:v>
      </x:c>
      <x:c r="D2" s="16" t="n">
        <x:v>171000000</x:v>
      </x:c>
      <x:c r="E2" s="16" t="n">
        <x:v>171000000</x:v>
      </x:c>
      <x:c r="F2" s="16" t="n">
        <x:v>0</x:v>
      </x:c>
      <x:c r="G2" s="16" t="n">
        <x:v>0</x:v>
      </x:c>
      <x:c r="H2" s="16" t="n">
        <x:v>0</x:v>
      </x:c>
      <x:c r="I2" s="16" t="n">
        <x:v>0</x:v>
      </x:c>
      <x:c r="J2" t="str">
        <x:v>Open</x:v>
      </x:c>
      <x:c r="K2" t="str">
        <x:v>Paid after period on 2026-07-08</x:v>
      </x:c>
    </x:row>
    <x:row r="3">
      <x:c r="A3" t="str">
        <x:v>PT Bali Fresh Market</x:v>
      </x:c>
      <x:c r="B3" t="str">
        <x:v>INV-2026-0620</x:v>
      </x:c>
      <x:c r="C3" t="str">
        <x:v>2026-06-28</x:v>
      </x:c>
      <x:c r="D3" s="16" t="n">
        <x:v>20000000</x:v>
      </x:c>
      <x:c r="E3" s="16" t="n">
        <x:v>20000000</x:v>
      </x:c>
      <x:c r="F3" s="16" t="n">
        <x:v>0</x:v>
      </x:c>
      <x:c r="G3" s="16" t="n">
        <x:v>0</x:v>
      </x:c>
      <x:c r="H3" s="16" t="n">
        <x:v>0</x:v>
      </x:c>
      <x:c r="I3" s="16" t="n">
        <x:v>0</x:v>
      </x:c>
      <x:c r="J3" t="str">
        <x:v>Open</x:v>
      </x:c>
      <x:c r="K3" t="str">
        <x:v>Paid after period on 2026-07-03</x:v>
      </x:c>
    </x:row>
    <x:row r="4">
      <x:c r="A4" t="str">
        <x:v>PT Sentra Farma Nusantara</x:v>
      </x:c>
      <x:c r="B4" t="str">
        <x:v>INV-2026-0624</x:v>
      </x:c>
      <x:c r="C4" t="str">
        <x:v>2026-06-29</x:v>
      </x:c>
      <x:c r="D4" s="16" t="n">
        <x:v>15000000</x:v>
      </x:c>
      <x:c r="E4" s="16" t="n">
        <x:v>15000000</x:v>
      </x:c>
      <x:c r="F4" s="16" t="n">
        <x:v>0</x:v>
      </x:c>
      <x:c r="G4" s="16" t="n">
        <x:v>0</x:v>
      </x:c>
      <x:c r="H4" s="16" t="n">
        <x:v>0</x:v>
      </x:c>
      <x:c r="I4" s="16" t="n">
        <x:v>0</x:v>
      </x:c>
      <x:c r="J4" t="str">
        <x:v>Open</x:v>
      </x:c>
      <x:c r="K4" t="str">
        <x:v>Paid after period on 2026-07-02</x:v>
      </x:c>
    </x:row>
    <x:row r="5">
      <x:c r="A5" t="str">
        <x:v>PT MegaLogis Indonesia</x:v>
      </x:c>
      <x:c r="B5" t="str">
        <x:v>INV-2026-0528</x:v>
      </x:c>
      <x:c r="C5" t="str">
        <x:v>2026-05-30</x:v>
      </x:c>
      <x:c r="D5" s="16" t="n">
        <x:v>60000000</x:v>
      </x:c>
      <x:c r="E5" s="16" t="n">
        <x:v>0</x:v>
      </x:c>
      <x:c r="F5" s="16" t="n">
        <x:v>0</x:v>
      </x:c>
      <x:c r="G5" s="16" t="n">
        <x:v>0</x:v>
      </x:c>
      <x:c r="H5" s="16" t="n">
        <x:v>0</x:v>
      </x:c>
      <x:c r="I5" s="16" t="n">
        <x:v>0</x:v>
      </x:c>
      <x:c r="J5" t="str">
        <x:v>Paid</x:v>
      </x:c>
      <x:c r="K5" t="str">
        <x:v>Collected 2026-06-10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8" hidden="0" customWidth="1"/>
    <x:col min="9" max="9" width="18" hidden="0" customWidth="1"/>
  </x:cols>
  <x:sheetData>
    <x:row r="1">
      <x:c r="A1" s="12" t="str">
        <x:v>JE ID</x:v>
      </x:c>
      <x:c r="B1" s="12" t="str">
        <x:v>Date</x:v>
      </x:c>
      <x:c r="C1" s="12" t="str">
        <x:v>Account Dr</x:v>
      </x:c>
      <x:c r="D1" s="12" t="str">
        <x:v>Account Cr</x:v>
      </x:c>
      <x:c r="E1" s="12" t="str">
        <x:v>Amount</x:v>
      </x:c>
      <x:c r="F1" s="12" t="str">
        <x:v>Prepared by</x:v>
      </x:c>
      <x:c r="G1" s="12" t="str">
        <x:v>Approved by</x:v>
      </x:c>
      <x:c r="H1" s="12" t="str">
        <x:v>Description</x:v>
      </x:c>
      <x:c r="I1" s="12" t="str">
        <x:v>Risk flag</x:v>
      </x:c>
    </x:row>
    <x:row r="2">
      <x:c r="A2" t="str">
        <x:v>JRN-2026-04-088</x:v>
      </x:c>
      <x:c r="B2" t="str">
        <x:v>2026-04-30</x:v>
      </x:c>
      <x:c r="C2" t="str">
        <x:v>Accounts Receivable</x:v>
      </x:c>
      <x:c r="D2" t="str">
        <x:v>Revenue</x:v>
      </x:c>
      <x:c r="E2" s="16" t="n">
        <x:v>336000000</x:v>
      </x:c>
      <x:c r="F2" t="str">
        <x:v>Finance Staff</x:v>
      </x:c>
      <x:c r="G2" t="str">
        <x:v>Finance Controller</x:v>
      </x:c>
      <x:c r="H2" t="str">
        <x:v>April revenue close entry</x:v>
      </x:c>
      <x:c r="I2" t="str">
        <x:v>Low</x:v>
      </x:c>
    </x:row>
    <x:row r="3">
      <x:c r="A3" t="str">
        <x:v>JRN-2026-05-102</x:v>
      </x:c>
      <x:c r="B3" t="str">
        <x:v>2026-05-31</x:v>
      </x:c>
      <x:c r="C3" t="str">
        <x:v>Accounts Receivable</x:v>
      </x:c>
      <x:c r="D3" t="str">
        <x:v>Revenue</x:v>
      </x:c>
      <x:c r="E3" s="16" t="n">
        <x:v>371750000</x:v>
      </x:c>
      <x:c r="F3" t="str">
        <x:v>Finance Staff</x:v>
      </x:c>
      <x:c r="G3" t="str">
        <x:v>Finance Controller</x:v>
      </x:c>
      <x:c r="H3" t="str">
        <x:v>May revenue close entry</x:v>
      </x:c>
      <x:c r="I3" t="str">
        <x:v>Low</x:v>
      </x:c>
    </x:row>
    <x:row r="4">
      <x:c r="A4" t="str">
        <x:v>JRN-2026-06-117</x:v>
      </x:c>
      <x:c r="B4" t="str">
        <x:v>2026-06-30</x:v>
      </x:c>
      <x:c r="C4" t="str">
        <x:v>Contract Asset</x:v>
      </x:c>
      <x:c r="D4" t="str">
        <x:v>Revenue</x:v>
      </x:c>
      <x:c r="E4" s="16" t="n">
        <x:v>72000000</x:v>
      </x:c>
      <x:c r="F4" t="str">
        <x:v>Finance Controller</x:v>
      </x:c>
      <x:c r="G4" t="str">
        <x:v>MISSING</x:v>
      </x:c>
      <x:c r="H4" t="str">
        <x:v>Manual revenue acceleration adjustment for Orion go-live</x:v>
      </x:c>
      <x:c r="I4" t="str">
        <x:v>High</x:v>
      </x:c>
    </x:row>
    <x:row r="5">
      <x:c r="A5" t="str">
        <x:v>JRN-2026-06-118</x:v>
      </x:c>
      <x:c r="B5" t="str">
        <x:v>2026-06-30</x:v>
      </x:c>
      <x:c r="C5" t="str">
        <x:v>Accounts Receivable</x:v>
      </x:c>
      <x:c r="D5" t="str">
        <x:v>Revenue</x:v>
      </x:c>
      <x:c r="E5" s="16" t="n">
        <x:v>391000000</x:v>
      </x:c>
      <x:c r="F5" t="str">
        <x:v>Finance Staff</x:v>
      </x:c>
      <x:c r="G5" t="str">
        <x:v>Finance Controller</x:v>
      </x:c>
      <x:c r="H5" t="str">
        <x:v>June revenue close entry</x:v>
      </x:c>
      <x:c r="I5" t="str">
        <x:v>Medium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38" hidden="0" customWidth="1"/>
    <x:col min="5" max="5" width="38" hidden="0" customWidth="1"/>
  </x:cols>
  <x:sheetData>
    <x:row r="1">
      <x:c r="A1" s="12" t="str">
        <x:v>Control ID</x:v>
      </x:c>
      <x:c r="B1" s="18" t="str">
        <x:v>Control description</x:v>
      </x:c>
      <x:c r="C1" s="18" t="str">
        <x:v>Threshold</x:v>
      </x:c>
      <x:c r="D1" s="18" t="str">
        <x:v>Required evidence</x:v>
      </x:c>
      <x:c r="E1" s="18" t="str">
        <x:v>Intentional test condition</x:v>
      </x:c>
    </x:row>
    <x:row r="2">
      <x:c r="A2" t="str">
        <x:v>REV-C01</x:v>
      </x:c>
      <x:c r="B2" t="str">
        <x:v>Revenue contract approval</x:v>
      </x:c>
      <x:c r="C2" t="str">
        <x:v>Contract value &gt; IDR 750,000,000</x:v>
      </x:c>
      <x:c r="D2" t="str">
        <x:v>Board Commercial Committee minutes or signed approval log</x:v>
      </x:c>
      <x:c r="E2" t="str">
        <x:v>Missing for C-ORION-2026-019 in initial pack</x:v>
      </x:c>
    </x:row>
    <x:row r="3">
      <x:c r="A3" t="str">
        <x:v>REV-C02</x:v>
      </x:c>
      <x:c r="B3" t="str">
        <x:v>Manual journal approval</x:v>
      </x:c>
      <x:c r="C3" t="str">
        <x:v>Manual JE &gt; IDR 50,000,000</x:v>
      </x:c>
      <x:c r="D3" t="str">
        <x:v>CFO approval evidence</x:v>
      </x:c>
      <x:c r="E3" t="str">
        <x:v>Missing for JRN-2026-06-117 in initial pack</x:v>
      </x:c>
    </x:row>
    <x:row r="4">
      <x:c r="A4" t="str">
        <x:v>REV-C03</x:v>
      </x:c>
      <x:c r="B4" t="str">
        <x:v>Cut-off support</x:v>
      </x:c>
      <x:c r="C4" t="str">
        <x:v>Invoices within last 5 business days of quarter</x:v>
      </x:c>
      <x:c r="D4" t="str">
        <x:v>Acceptance certificate, delivery log, or usage report</x:v>
      </x:c>
      <x:c r="E4" t="str">
        <x:v>INV-2026-0630 has service log conflict</x:v>
      </x:c>
    </x:row>
    <x:row r="5">
      <x:c r="A5" t="str">
        <x:v>REV-C04</x:v>
      </x:c>
      <x:c r="B5" t="str">
        <x:v>Cash receipt matching</x:v>
      </x:c>
      <x:c r="C5" t="str">
        <x:v>All paid invoices</x:v>
      </x:c>
      <x:c r="D5" t="str">
        <x:v>Bank statement or bank transaction CSV</x:v>
      </x:c>
      <x:c r="E5" t="str">
        <x:v>Provided for paid April-May invoices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4" hidden="0" customWidth="1"/>
  </x:cols>
  <x:sheetData>
    <x:row r="1">
      <x:c r="A1" s="18" t="str">
        <x:v>Evidence type</x:v>
      </x:c>
      <x:c r="B1" s="18" t="str">
        <x:v>Existence</x:v>
      </x:c>
      <x:c r="C1" s="18" t="str">
        <x:v>Completeness</x:v>
      </x:c>
      <x:c r="D1" s="18" t="str">
        <x:v>Valuation</x:v>
      </x:c>
      <x:c r="E1" s="18" t="str">
        <x:v>Rights &amp; Obligations</x:v>
      </x:c>
      <x:c r="F1" s="18" t="str">
        <x:v>Cut-off</x:v>
      </x:c>
      <x:c r="G1" s="18" t="str">
        <x:v>Classification</x:v>
      </x:c>
      <x:c r="H1" s="18" t="str">
        <x:v>Occurrence</x:v>
      </x:c>
      <x:c r="I1" s="18" t="str">
        <x:v>Accuracy</x:v>
      </x:c>
      <x:c r="J1" s="18" t="str">
        <x:v>Expected agent note</x:v>
      </x:c>
    </x:row>
    <x:row r="2">
      <x:c r="A2" s="8" t="str">
        <x:v>Bank statement</x:v>
      </x:c>
      <x:c r="B2" s="8" t="str">
        <x:v>Y</x:v>
      </x:c>
      <x:c r="C2" s="8" t="str">
        <x:v>Y</x:v>
      </x:c>
      <x:c r="D2" s="8" t="str">
        <x:v>Y</x:v>
      </x:c>
      <x:c r="E2" s="8" t="str"/>
      <x:c r="F2" s="8" t="str"/>
      <x:c r="G2" s="8" t="str"/>
      <x:c r="H2" s="8" t="str"/>
      <x:c r="I2" s="8" t="str">
        <x:v>Y</x:v>
      </x:c>
      <x:c r="J2" s="8" t="str">
        <x:v>Supports cash receipts and valuation, but does not prove revenue authorization</x:v>
      </x:c>
    </x:row>
    <x:row r="3">
      <x:c r="A3" s="8" t="str">
        <x:v>Invoice</x:v>
      </x:c>
      <x:c r="B3" s="8" t="str">
        <x:v>Y</x:v>
      </x:c>
      <x:c r="C3" s="8" t="str"/>
      <x:c r="D3" s="8" t="str"/>
      <x:c r="E3" s="8" t="str"/>
      <x:c r="F3" s="8" t="str">
        <x:v>Y</x:v>
      </x:c>
      <x:c r="G3" s="8" t="str">
        <x:v>Y</x:v>
      </x:c>
      <x:c r="H3" s="8" t="str">
        <x:v>Y</x:v>
      </x:c>
      <x:c r="I3" s="8" t="str">
        <x:v>Y</x:v>
      </x:c>
      <x:c r="J3" s="8" t="str">
        <x:v>Supports occurrence and accuracy, but needs delivery/contract support</x:v>
      </x:c>
    </x:row>
    <x:row r="4">
      <x:c r="A4" s="8" t="str">
        <x:v>Customer contract</x:v>
      </x:c>
      <x:c r="B4" s="8" t="str">
        <x:v>Y</x:v>
      </x:c>
      <x:c r="C4" s="8" t="str"/>
      <x:c r="D4" s="8" t="str"/>
      <x:c r="E4" s="8" t="str">
        <x:v>Y</x:v>
      </x:c>
      <x:c r="F4" s="8" t="str">
        <x:v>Y</x:v>
      </x:c>
      <x:c r="G4" s="8" t="str">
        <x:v>Y</x:v>
      </x:c>
      <x:c r="H4" s="8" t="str"/>
      <x:c r="I4" s="8" t="str"/>
      <x:c r="J4" s="8" t="str">
        <x:v>Supports contractual rights if approval threshold also satisfied</x:v>
      </x:c>
    </x:row>
    <x:row r="5">
      <x:c r="A5" s="8" t="str">
        <x:v>Service acceptance</x:v>
      </x:c>
      <x:c r="B5" s="8" t="str">
        <x:v>Y</x:v>
      </x:c>
      <x:c r="C5" s="8" t="str"/>
      <x:c r="D5" s="8" t="str"/>
      <x:c r="E5" s="8" t="str"/>
      <x:c r="F5" s="8" t="str">
        <x:v>Y</x:v>
      </x:c>
      <x:c r="G5" s="8" t="str"/>
      <x:c r="H5" s="8" t="str">
        <x:v>Y</x:v>
      </x:c>
      <x:c r="I5" s="8" t="str"/>
      <x:c r="J5" s="8" t="str">
        <x:v>Supports occurrence and cut-off, but date conflict must be checked</x:v>
      </x:c>
    </x:row>
    <x:row r="6">
      <x:c r="A6" s="8" t="str">
        <x:v>ERP revenue export</x:v>
      </x:c>
      <x:c r="B6" s="8" t="str">
        <x:v>Y</x:v>
      </x:c>
      <x:c r="C6" s="8" t="str">
        <x:v>Y</x:v>
      </x:c>
      <x:c r="D6" s="8" t="str">
        <x:v>Y</x:v>
      </x:c>
      <x:c r="E6" s="8" t="str"/>
      <x:c r="F6" s="8" t="str">
        <x:v>Y</x:v>
      </x:c>
      <x:c r="G6" s="8" t="str">
        <x:v>Y</x:v>
      </x:c>
      <x:c r="H6" s="8" t="str">
        <x:v>Y</x:v>
      </x:c>
      <x:c r="I6" s="8" t="str">
        <x:v>Y</x:v>
      </x:c>
      <x:c r="J6" s="8" t="str">
        <x:v>System export is L2 only because company-uploaded</x:v>
      </x:c>
    </x:row>
    <x:row r="7">
      <x:c r="A7" s="8" t="str">
        <x:v>Board minutes</x:v>
      </x:c>
      <x:c r="B7" s="8" t="str"/>
      <x:c r="C7" s="8" t="str"/>
      <x:c r="D7" s="8" t="str"/>
      <x:c r="E7" s="8" t="str">
        <x:v>Y</x:v>
      </x:c>
      <x:c r="F7" s="8" t="str"/>
      <x:c r="G7" s="8" t="str"/>
      <x:c r="H7" s="8" t="str">
        <x:v>Y</x:v>
      </x:c>
      <x:c r="I7" s="8" t="str"/>
      <x:c r="J7" s="8" t="str">
        <x:v>Missing initially, provided during remediation</x:v>
      </x:c>
    </x:row>
    <x:row r="8">
      <x:c r="A8" s="8" t="str">
        <x:v>Manual JE approval</x:v>
      </x:c>
      <x:c r="B8" s="8" t="str"/>
      <x:c r="C8" s="8" t="str"/>
      <x:c r="D8" s="8" t="str"/>
      <x:c r="E8" s="8" t="str">
        <x:v>Y</x:v>
      </x:c>
      <x:c r="F8" s="8" t="str"/>
      <x:c r="G8" s="8" t="str">
        <x:v>Y</x:v>
      </x:c>
      <x:c r="H8" s="8" t="str"/>
      <x:c r="I8" s="8" t="str">
        <x:v>Y</x:v>
      </x:c>
      <x:c r="J8" s="8" t="str">
        <x:v>Missing initially for JRN-2026-06-117</x:v>
      </x:c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</x:row>
  </x:sheetData>
  <x:pageMargins left="0.7" right="0.7" top="0.75" bottom="0.75" header="0.3" footer="0.3"/>
</x:worksheet>
</file>